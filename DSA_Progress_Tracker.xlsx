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11052"/>
  </bookViews>
  <sheets>
    <sheet name="DSA Progress Tracker" sheetId="1" r:id="rId1"/>
    <sheet name="How to Use" sheetId="2" r:id="rId2"/>
  </sheets>
  <calcPr calcId="144525"/>
</workbook>
</file>

<file path=xl/calcChain.xml><?xml version="1.0" encoding="utf-8"?>
<calcChain xmlns="http://schemas.openxmlformats.org/spreadsheetml/2006/main">
  <c r="I5" i="1" l="1"/>
  <c r="H5" i="1"/>
  <c r="G5" i="1"/>
  <c r="B5" i="1"/>
  <c r="F4" i="1"/>
  <c r="D4" i="1"/>
  <c r="B4" i="1"/>
  <c r="D5" i="1" l="1"/>
</calcChain>
</file>

<file path=xl/sharedStrings.xml><?xml version="1.0" encoding="utf-8"?>
<sst xmlns="http://schemas.openxmlformats.org/spreadsheetml/2006/main" count="746" uniqueCount="184">
  <si>
    <t>DSA Progress Tracker</t>
  </si>
  <si>
    <t>Track topics and subtopics as you study. Update Status as you progress.</t>
  </si>
  <si>
    <t>Total items</t>
  </si>
  <si>
    <t>In progress</t>
  </si>
  <si>
    <t>Done</t>
  </si>
  <si>
    <t>Not started</t>
  </si>
  <si>
    <t>Percent complete</t>
  </si>
  <si>
    <t>Difficulty</t>
  </si>
  <si>
    <t>Easy / Med / Hard</t>
  </si>
  <si>
    <t>Topic / Subtopic</t>
  </si>
  <si>
    <t>Type</t>
  </si>
  <si>
    <t>Category</t>
  </si>
  <si>
    <t>Status</t>
  </si>
  <si>
    <t>Notes</t>
  </si>
  <si>
    <t>Arrays</t>
  </si>
  <si>
    <t>Topic</t>
  </si>
  <si>
    <t>Fundamentals</t>
  </si>
  <si>
    <t>Easy</t>
  </si>
  <si>
    <t>Complete Arrays section</t>
  </si>
  <si>
    <t>Static vs Dynamic Arrays</t>
  </si>
  <si>
    <t>Subtopic</t>
  </si>
  <si>
    <t>Python lists behave like dynamic arrays</t>
  </si>
  <si>
    <t>Prefix Sum / Difference Array</t>
  </si>
  <si>
    <t>Medium</t>
  </si>
  <si>
    <t>Range sums and efficient range updates</t>
  </si>
  <si>
    <t>Sliding Window Technique</t>
  </si>
  <si>
    <t>Fixed and variable-size windows</t>
  </si>
  <si>
    <t>Two Pointer Technique</t>
  </si>
  <si>
    <t>Pair problems and sorted arrays</t>
  </si>
  <si>
    <t>Kadane's Algorithm (max subarray sum)</t>
  </si>
  <si>
    <t>Maximum subarray sum</t>
  </si>
  <si>
    <t>2D Arrays / Matrix Operations</t>
  </si>
  <si>
    <t>Traversal, row/column sum, transpose, matrix operations</t>
  </si>
  <si>
    <t>Array Rotation</t>
  </si>
  <si>
    <t>Left/right rotation and 90-degree matrix rotation</t>
  </si>
  <si>
    <t>Matrix Traversal</t>
  </si>
  <si>
    <t>2D Arrays / Matrix</t>
  </si>
  <si>
    <t>Row-wise and column-wise traversal</t>
  </si>
  <si>
    <t>Transpose Matrix</t>
  </si>
  <si>
    <t>Convert rows to columns</t>
  </si>
  <si>
    <t>Row Sum</t>
  </si>
  <si>
    <t>Calculate each row's sum</t>
  </si>
  <si>
    <t>Column Sum</t>
  </si>
  <si>
    <t>Calculate each column's sum</t>
  </si>
  <si>
    <t>Rotate Matrix 90° Clockwise</t>
  </si>
  <si>
    <t>Transpose + reverse each row</t>
  </si>
  <si>
    <t>Disjoint Set Union (Union-Find)</t>
  </si>
  <si>
    <t>Union by Rank / Size</t>
  </si>
  <si>
    <t>Path Compression</t>
  </si>
  <si>
    <t>Applications: Kruskal's MST, cycle detection, connected components</t>
  </si>
  <si>
    <t>Hard</t>
  </si>
  <si>
    <t>Graphs</t>
  </si>
  <si>
    <t>Adjacency List vs Adjacency Matrix</t>
  </si>
  <si>
    <t>Weighted vs Unweighted Graphs</t>
  </si>
  <si>
    <t>Directed vs Undirected Graphs</t>
  </si>
  <si>
    <t>Graph representation trade-offs (space/time)</t>
  </si>
  <si>
    <t>Hash Tables</t>
  </si>
  <si>
    <t>Hash Functions</t>
  </si>
  <si>
    <t>Collision Handling - Chaining</t>
  </si>
  <si>
    <t>Collision Handling - Open Addressing (linear/quadratic probing, double hashing)</t>
  </si>
  <si>
    <t>Load Factor and Rehashing</t>
  </si>
  <si>
    <t>Applications: caching, frequency counting, deduplication</t>
  </si>
  <si>
    <t>Linked List</t>
  </si>
  <si>
    <t>Singly Linked List</t>
  </si>
  <si>
    <t>Doubly Linked List</t>
  </si>
  <si>
    <t>Circular Linked List</t>
  </si>
  <si>
    <t>Reversal (iterative and recursive)</t>
  </si>
  <si>
    <t>Cycle Detection (Floyd's Tortoise and Hare)</t>
  </si>
  <si>
    <t>Merge Two Sorted Lists</t>
  </si>
  <si>
    <t>Finding Middle Element</t>
  </si>
  <si>
    <t>Queues</t>
  </si>
  <si>
    <t>Simple Queue</t>
  </si>
  <si>
    <t>Circular Queue</t>
  </si>
  <si>
    <t>Deque (Double-Ended Queue)</t>
  </si>
  <si>
    <t>Priority Queue (heap-backed)</t>
  </si>
  <si>
    <t>Applications: BFS, task scheduling</t>
  </si>
  <si>
    <t>Stacks</t>
  </si>
  <si>
    <t>LIFO principle</t>
  </si>
  <si>
    <t>Applications: Balanced Parentheses, Expression Evaluation (infix/postfix/prefix)</t>
  </si>
  <si>
    <t>Monotonic Stack (next greater/smaller element)</t>
  </si>
  <si>
    <t>Min Stack design</t>
  </si>
  <si>
    <t>Trees</t>
  </si>
  <si>
    <t>Binary Tree basics</t>
  </si>
  <si>
    <t>Binary Search Tree (BST) - insert, delete, search</t>
  </si>
  <si>
    <t>Tree Traversals - Inorder, Preorder, Postorder, Level Order</t>
  </si>
  <si>
    <t>Height / Depth of a Tree</t>
  </si>
  <si>
    <t>Balanced Trees - AVL Tree (rotations)</t>
  </si>
  <si>
    <t>Segment Tree (range queries)</t>
  </si>
  <si>
    <t>Fenwick Tree / Binary Indexed Tree (BIT)</t>
  </si>
  <si>
    <t>Lowest Common Ancestor (LCA)</t>
  </si>
  <si>
    <t>Tries</t>
  </si>
  <si>
    <t>Insertion and Search</t>
  </si>
  <si>
    <t>Prefix Search</t>
  </si>
  <si>
    <t>Applications: Autocomplete, Spell Checker, IP Routing (basic mention)</t>
  </si>
  <si>
    <t>Bit Manipulation</t>
  </si>
  <si>
    <t>AND, OR, XOR, NOT operators - truth tables and use cases</t>
  </si>
  <si>
    <t>Left shift &lt;&lt; / right shift &gt;&gt;</t>
  </si>
  <si>
    <t>Checking if a number is a power of 2</t>
  </si>
  <si>
    <t>Counting set bits (Brian Kernighan's algorithm)</t>
  </si>
  <si>
    <t>Bitmasking for subsets</t>
  </si>
  <si>
    <t>XOR swap (swap without temp variable)</t>
  </si>
  <si>
    <t>Single Number problem (XOR trick for finding unique element)</t>
  </si>
  <si>
    <t>Get/set/clear/toggle a specific bit</t>
  </si>
  <si>
    <t>Bitwise tricks: check even/odd, multiply/divide by 2</t>
  </si>
  <si>
    <t>Dynamic Programming</t>
  </si>
  <si>
    <t>Memoization (top-down) vs Tabulation (bottom-up)</t>
  </si>
  <si>
    <t>0/1 Knapsack</t>
  </si>
  <si>
    <t>Unbounded Knapsack</t>
  </si>
  <si>
    <t>Longest Common Subsequence (LCS)</t>
  </si>
  <si>
    <t>Longest Increasing Subsequence (LIS)</t>
  </si>
  <si>
    <t>Edit Distance (Levenshtein)</t>
  </si>
  <si>
    <t>Coin Change (min coins / count ways)</t>
  </si>
  <si>
    <t>Subset Sum / Partition Equal Subset Sum</t>
  </si>
  <si>
    <t>Matrix Chain Multiplication</t>
  </si>
  <si>
    <t>Palindrome Partitioning</t>
  </si>
  <si>
    <t>DP on Grids (unique paths, min path sum)</t>
  </si>
  <si>
    <t>DP on Trees</t>
  </si>
  <si>
    <t>Fibonacci-style memoization (base pattern)</t>
  </si>
  <si>
    <t>State compression DP (intro level)</t>
  </si>
  <si>
    <t>Graph Algorithms</t>
  </si>
  <si>
    <t>BFS (Breadth-First Search)</t>
  </si>
  <si>
    <t>DFS (Depth-First Search)</t>
  </si>
  <si>
    <t>Dijkstra's Algorithm (shortest path, weighted, non-negative)</t>
  </si>
  <si>
    <t>Bellman-Ford (handles negative weights)</t>
  </si>
  <si>
    <t>Floyd-Warshall (all-pairs shortest path)</t>
  </si>
  <si>
    <t>Topological Sort (Kahn's algorithm / DFS-based)</t>
  </si>
  <si>
    <t>Minimum Spanning Tree - Kruskal's Algorithm</t>
  </si>
  <si>
    <t>Minimum Spanning Tree - Prim's Algorithm</t>
  </si>
  <si>
    <t>Cycle Detection (directed and undirected)</t>
  </si>
  <si>
    <t>Connected Components</t>
  </si>
  <si>
    <t>Strongly Connected Components (Tarjan's / Kosaraju's)</t>
  </si>
  <si>
    <t>Bipartite Graph Check</t>
  </si>
  <si>
    <t>Greedy Algorithms</t>
  </si>
  <si>
    <t>Activity Selection / Interval Scheduling</t>
  </si>
  <si>
    <t>Fractional Knapsack</t>
  </si>
  <si>
    <t>Huffman Coding</t>
  </si>
  <si>
    <t>Job Sequencing with Deadlines</t>
  </si>
  <si>
    <t>Minimum Platforms Problem</t>
  </si>
  <si>
    <t>Greedy vs DP - when greedy fails (classic interview probe)</t>
  </si>
  <si>
    <t>Recursion and Backtracking</t>
  </si>
  <si>
    <t>Subsets (power set) generation</t>
  </si>
  <si>
    <t>Permutations generation</t>
  </si>
  <si>
    <t>N-Queens Problem</t>
  </si>
  <si>
    <t>Sudoku Solver</t>
  </si>
  <si>
    <t>Combination Sum</t>
  </si>
  <si>
    <t>Word Search (grid backtracking)</t>
  </si>
  <si>
    <t>Rat in a Maze</t>
  </si>
  <si>
    <t>Recursion tree / recurrence relation basics</t>
  </si>
  <si>
    <t>Searching</t>
  </si>
  <si>
    <t>Linear Search</t>
  </si>
  <si>
    <t>Binary Search (iterative and recursive)</t>
  </si>
  <si>
    <t>Binary Search on Answer (search space problems)</t>
  </si>
  <si>
    <t>Search in Rotated Sorted Array</t>
  </si>
  <si>
    <t>Ternary Search</t>
  </si>
  <si>
    <t>Exponential Search</t>
  </si>
  <si>
    <t>Sorting</t>
  </si>
  <si>
    <t>Bubble Sort</t>
  </si>
  <si>
    <t>Selection Sort</t>
  </si>
  <si>
    <t>Insertion Sort</t>
  </si>
  <si>
    <t>Merge Sort</t>
  </si>
  <si>
    <t>Quick Sort (and quickselect variant)</t>
  </si>
  <si>
    <t>Heap Sort</t>
  </si>
  <si>
    <t>Counting Sort</t>
  </si>
  <si>
    <t>Radix Sort</t>
  </si>
  <si>
    <t>Bucket Sort</t>
  </si>
  <si>
    <t>Stability in sorting algorithms</t>
  </si>
  <si>
    <t>Time/space complexity comparison table</t>
  </si>
  <si>
    <t>String Algorithms</t>
  </si>
  <si>
    <t>Pattern Matching - Naive approach</t>
  </si>
  <si>
    <t>KMP Algorithm (Knuth-Morris-Pratt)</t>
  </si>
  <si>
    <t>Rabin-Karp Algorithm (rolling hash)</t>
  </si>
  <si>
    <t>Z-Algorithm</t>
  </si>
  <si>
    <t>Longest Common Substring</t>
  </si>
  <si>
    <t>Longest Palindromic Substring</t>
  </si>
  <si>
    <t>Anagram Detection</t>
  </si>
  <si>
    <t>String Hashing basics</t>
  </si>
  <si>
    <t>How to Use the DSA Progress Tracker</t>
  </si>
  <si>
    <t>1. Change the Status column as you study: Not started → In progress → Done.</t>
  </si>
  <si>
    <t>2. Dashboard counts update automatically.</t>
  </si>
  <si>
    <t>3. Percent complete is calculated from completed items.</t>
  </si>
  <si>
    <t>4. Use Difficulty to classify each problem/topic.</t>
  </si>
  <si>
    <t>5. Add new topics or subtopics in rows 10–200.</t>
  </si>
  <si>
    <t>6. Use Logic Flow to write the approach/algorithm in your own words.</t>
  </si>
  <si>
    <t>7. Use Notes for key concepts, mistakes, or interview tips.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</si>
</sst>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>
    <font>
      <sz val="11"/>
      <color theme="1"/>
      <name val="Calibri"/>
    </font>
    <font>
      <b/>
      <sz val="18"/>
      <name val="Calibri"/>
    </font>
    <font>
      <i/>
      <sz val="11"/>
      <color rgb="FF66666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abSelected="1" workbookViewId="0">
      <selection activeCell="E25" sqref="E25"/>
    </sheetView>
  </sheetViews>
  <sheetFormatPr defaultRowHeight="14.4"/>
  <cols>
    <col min="1" max="1" width="36" customWidth="1"/>
    <col min="2" max="2" width="14" customWidth="1"/>
    <col min="3" max="3" width="24" customWidth="1"/>
    <col min="4" max="4" width="12" customWidth="1"/>
    <col min="5" max="5" width="16" customWidth="1"/>
    <col min="6" max="6" width="48" customWidth="1"/>
    <col min="7" max="9" width="12" customWidth="1"/>
  </cols>
  <sheetData>
    <row r="1" spans="1:9" ht="22.35" customHeight="1">
      <c r="A1" s="1" t="s">
        <v>0</v>
      </c>
    </row>
    <row r="2" spans="1:9">
      <c r="A2" s="2" t="s">
        <v>1</v>
      </c>
    </row>
    <row r="4" spans="1:9">
      <c r="A4" s="3" t="s">
        <v>2</v>
      </c>
      <c r="B4" s="3">
        <f>COUNTA(A10:A200)</f>
        <v>142</v>
      </c>
      <c r="C4" s="3" t="s">
        <v>3</v>
      </c>
      <c r="D4" s="3">
        <f>COUNTIF(E10:E200,"In progress")</f>
        <v>1</v>
      </c>
      <c r="E4" s="3" t="s">
        <v>4</v>
      </c>
      <c r="F4" s="3">
        <f>COUNTIF(E10:E200,"Done")</f>
        <v>13</v>
      </c>
    </row>
    <row r="5" spans="1:9">
      <c r="A5" s="3" t="s">
        <v>5</v>
      </c>
      <c r="B5" s="3">
        <f>COUNTIF(E10:E200,"Not started")</f>
        <v>128</v>
      </c>
      <c r="C5" s="3" t="s">
        <v>6</v>
      </c>
      <c r="D5" s="4">
        <f>IFERROR(F4/B4,0)</f>
        <v>9.154929577464789E-2</v>
      </c>
      <c r="E5" s="3" t="s">
        <v>7</v>
      </c>
      <c r="F5" s="3" t="s">
        <v>8</v>
      </c>
      <c r="G5">
        <f>COUNTIF(D10:D200,"Easy")</f>
        <v>53</v>
      </c>
      <c r="H5">
        <f>COUNTIF(D10:D200,"Medium")</f>
        <v>63</v>
      </c>
      <c r="I5">
        <f>COUNTIF(D10:D200,"Hard")</f>
        <v>26</v>
      </c>
    </row>
    <row r="9" spans="1:9" ht="27.9" customHeight="1">
      <c r="A9" s="5" t="s">
        <v>9</v>
      </c>
      <c r="B9" s="5" t="s">
        <v>10</v>
      </c>
      <c r="C9" s="5" t="s">
        <v>11</v>
      </c>
      <c r="D9" s="5" t="s">
        <v>7</v>
      </c>
      <c r="E9" s="5" t="s">
        <v>12</v>
      </c>
      <c r="F9" s="5" t="s">
        <v>13</v>
      </c>
    </row>
    <row r="10" spans="1:9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4</v>
      </c>
      <c r="F10" s="6" t="s">
        <v>18</v>
      </c>
    </row>
    <row r="11" spans="1:9">
      <c r="A11" s="6" t="s">
        <v>19</v>
      </c>
      <c r="B11" s="6" t="s">
        <v>20</v>
      </c>
      <c r="C11" s="6" t="s">
        <v>14</v>
      </c>
      <c r="D11" s="6" t="s">
        <v>17</v>
      </c>
      <c r="E11" s="6" t="s">
        <v>4</v>
      </c>
      <c r="F11" s="6" t="s">
        <v>21</v>
      </c>
    </row>
    <row r="12" spans="1:9">
      <c r="A12" s="6" t="s">
        <v>22</v>
      </c>
      <c r="B12" s="6" t="s">
        <v>20</v>
      </c>
      <c r="C12" s="6" t="s">
        <v>14</v>
      </c>
      <c r="D12" s="6" t="s">
        <v>23</v>
      </c>
      <c r="E12" s="6" t="s">
        <v>4</v>
      </c>
      <c r="F12" s="6" t="s">
        <v>24</v>
      </c>
    </row>
    <row r="13" spans="1:9">
      <c r="A13" s="6" t="s">
        <v>25</v>
      </c>
      <c r="B13" s="6" t="s">
        <v>20</v>
      </c>
      <c r="C13" s="6" t="s">
        <v>14</v>
      </c>
      <c r="D13" s="6" t="s">
        <v>23</v>
      </c>
      <c r="E13" s="6" t="s">
        <v>4</v>
      </c>
      <c r="F13" s="6" t="s">
        <v>26</v>
      </c>
    </row>
    <row r="14" spans="1:9">
      <c r="A14" s="6" t="s">
        <v>27</v>
      </c>
      <c r="B14" s="6" t="s">
        <v>20</v>
      </c>
      <c r="C14" s="6" t="s">
        <v>14</v>
      </c>
      <c r="D14" s="6" t="s">
        <v>23</v>
      </c>
      <c r="E14" s="6" t="s">
        <v>4</v>
      </c>
      <c r="F14" s="6" t="s">
        <v>28</v>
      </c>
    </row>
    <row r="15" spans="1:9">
      <c r="A15" s="6" t="s">
        <v>29</v>
      </c>
      <c r="B15" s="6" t="s">
        <v>20</v>
      </c>
      <c r="C15" s="6" t="s">
        <v>14</v>
      </c>
      <c r="D15" s="6" t="s">
        <v>23</v>
      </c>
      <c r="E15" s="6" t="s">
        <v>4</v>
      </c>
      <c r="F15" s="6" t="s">
        <v>30</v>
      </c>
    </row>
    <row r="16" spans="1:9" ht="22.95" customHeight="1">
      <c r="A16" s="6" t="s">
        <v>31</v>
      </c>
      <c r="B16" s="6" t="s">
        <v>20</v>
      </c>
      <c r="C16" s="6" t="s">
        <v>14</v>
      </c>
      <c r="D16" s="6" t="s">
        <v>23</v>
      </c>
      <c r="E16" s="6" t="s">
        <v>4</v>
      </c>
      <c r="F16" s="6" t="s">
        <v>32</v>
      </c>
    </row>
    <row r="17" spans="1:6">
      <c r="A17" s="6" t="s">
        <v>33</v>
      </c>
      <c r="B17" s="6" t="s">
        <v>20</v>
      </c>
      <c r="C17" s="6" t="s">
        <v>14</v>
      </c>
      <c r="D17" s="6" t="s">
        <v>17</v>
      </c>
      <c r="E17" s="6" t="s">
        <v>4</v>
      </c>
      <c r="F17" s="6" t="s">
        <v>34</v>
      </c>
    </row>
    <row r="18" spans="1:6">
      <c r="A18" s="6" t="s">
        <v>35</v>
      </c>
      <c r="B18" s="6" t="s">
        <v>20</v>
      </c>
      <c r="C18" s="6" t="s">
        <v>36</v>
      </c>
      <c r="D18" s="6" t="s">
        <v>17</v>
      </c>
      <c r="E18" s="6" t="s">
        <v>4</v>
      </c>
      <c r="F18" s="6" t="s">
        <v>37</v>
      </c>
    </row>
    <row r="19" spans="1:6">
      <c r="A19" s="6" t="s">
        <v>38</v>
      </c>
      <c r="B19" s="6" t="s">
        <v>20</v>
      </c>
      <c r="C19" s="6" t="s">
        <v>36</v>
      </c>
      <c r="D19" s="6" t="s">
        <v>17</v>
      </c>
      <c r="E19" s="6" t="s">
        <v>4</v>
      </c>
      <c r="F19" s="6" t="s">
        <v>39</v>
      </c>
    </row>
    <row r="20" spans="1:6">
      <c r="A20" s="6" t="s">
        <v>40</v>
      </c>
      <c r="B20" s="6" t="s">
        <v>20</v>
      </c>
      <c r="C20" s="6" t="s">
        <v>36</v>
      </c>
      <c r="D20" s="6" t="s">
        <v>17</v>
      </c>
      <c r="E20" s="6" t="s">
        <v>4</v>
      </c>
      <c r="F20" s="6" t="s">
        <v>41</v>
      </c>
    </row>
    <row r="21" spans="1:6">
      <c r="A21" s="6" t="s">
        <v>42</v>
      </c>
      <c r="B21" s="6" t="s">
        <v>20</v>
      </c>
      <c r="C21" s="6" t="s">
        <v>36</v>
      </c>
      <c r="D21" s="6" t="s">
        <v>17</v>
      </c>
      <c r="E21" s="6" t="s">
        <v>4</v>
      </c>
      <c r="F21" s="6" t="s">
        <v>43</v>
      </c>
    </row>
    <row r="22" spans="1:6">
      <c r="A22" s="6" t="s">
        <v>44</v>
      </c>
      <c r="B22" s="6" t="s">
        <v>20</v>
      </c>
      <c r="C22" s="6" t="s">
        <v>36</v>
      </c>
      <c r="D22" s="6" t="s">
        <v>23</v>
      </c>
      <c r="E22" s="6" t="s">
        <v>4</v>
      </c>
      <c r="F22" s="6" t="s">
        <v>45</v>
      </c>
    </row>
    <row r="23" spans="1:6">
      <c r="A23" s="6"/>
      <c r="B23" s="6"/>
      <c r="C23" s="6"/>
      <c r="D23" s="6"/>
      <c r="E23" s="6"/>
      <c r="F23" s="6"/>
    </row>
    <row r="24" spans="1:6" ht="28.8">
      <c r="A24" s="6" t="s">
        <v>46</v>
      </c>
      <c r="B24" s="6" t="s">
        <v>15</v>
      </c>
      <c r="C24" s="6" t="s">
        <v>46</v>
      </c>
      <c r="D24" s="6" t="s">
        <v>17</v>
      </c>
      <c r="E24" s="6" t="s">
        <v>3</v>
      </c>
    </row>
    <row r="25" spans="1:6" ht="28.8">
      <c r="A25" s="6" t="s">
        <v>47</v>
      </c>
      <c r="B25" s="6" t="s">
        <v>20</v>
      </c>
      <c r="C25" s="6" t="s">
        <v>46</v>
      </c>
      <c r="D25" s="6" t="s">
        <v>23</v>
      </c>
      <c r="E25" s="6" t="s">
        <v>5</v>
      </c>
    </row>
    <row r="26" spans="1:6" ht="28.8">
      <c r="A26" s="6" t="s">
        <v>48</v>
      </c>
      <c r="B26" s="6" t="s">
        <v>20</v>
      </c>
      <c r="C26" s="6" t="s">
        <v>46</v>
      </c>
      <c r="D26" s="6" t="s">
        <v>23</v>
      </c>
      <c r="E26" s="6" t="s">
        <v>5</v>
      </c>
    </row>
    <row r="27" spans="1:6" ht="28.8">
      <c r="A27" s="6" t="s">
        <v>49</v>
      </c>
      <c r="B27" s="6" t="s">
        <v>20</v>
      </c>
      <c r="C27" s="6" t="s">
        <v>46</v>
      </c>
      <c r="D27" s="6" t="s">
        <v>50</v>
      </c>
      <c r="E27" s="6" t="s">
        <v>5</v>
      </c>
    </row>
    <row r="28" spans="1:6">
      <c r="A28" s="6" t="s">
        <v>51</v>
      </c>
      <c r="B28" s="6" t="s">
        <v>15</v>
      </c>
      <c r="C28" s="6" t="s">
        <v>51</v>
      </c>
      <c r="D28" s="6" t="s">
        <v>17</v>
      </c>
      <c r="E28" s="6" t="s">
        <v>5</v>
      </c>
    </row>
    <row r="29" spans="1:6">
      <c r="A29" s="6" t="s">
        <v>52</v>
      </c>
      <c r="B29" s="6" t="s">
        <v>20</v>
      </c>
      <c r="C29" s="6" t="s">
        <v>51</v>
      </c>
      <c r="D29" s="6" t="s">
        <v>17</v>
      </c>
      <c r="E29" s="6" t="s">
        <v>5</v>
      </c>
    </row>
    <row r="30" spans="1:6">
      <c r="A30" s="6" t="s">
        <v>53</v>
      </c>
      <c r="B30" s="6" t="s">
        <v>20</v>
      </c>
      <c r="C30" s="6" t="s">
        <v>51</v>
      </c>
      <c r="D30" s="6" t="s">
        <v>17</v>
      </c>
      <c r="E30" s="6" t="s">
        <v>5</v>
      </c>
    </row>
    <row r="31" spans="1:6">
      <c r="A31" s="6" t="s">
        <v>54</v>
      </c>
      <c r="B31" s="6" t="s">
        <v>20</v>
      </c>
      <c r="C31" s="6" t="s">
        <v>51</v>
      </c>
      <c r="D31" s="6" t="s">
        <v>17</v>
      </c>
      <c r="E31" s="6" t="s">
        <v>5</v>
      </c>
    </row>
    <row r="32" spans="1:6" ht="28.8">
      <c r="A32" s="6" t="s">
        <v>55</v>
      </c>
      <c r="B32" s="6" t="s">
        <v>20</v>
      </c>
      <c r="C32" s="6" t="s">
        <v>51</v>
      </c>
      <c r="D32" s="6" t="s">
        <v>23</v>
      </c>
      <c r="E32" s="6" t="s">
        <v>5</v>
      </c>
    </row>
    <row r="33" spans="1:5">
      <c r="A33" s="6" t="s">
        <v>56</v>
      </c>
      <c r="B33" s="6" t="s">
        <v>15</v>
      </c>
      <c r="C33" s="6" t="s">
        <v>56</v>
      </c>
      <c r="D33" s="6" t="s">
        <v>17</v>
      </c>
      <c r="E33" s="6" t="s">
        <v>5</v>
      </c>
    </row>
    <row r="34" spans="1:5">
      <c r="A34" s="6" t="s">
        <v>57</v>
      </c>
      <c r="B34" s="6" t="s">
        <v>20</v>
      </c>
      <c r="C34" s="6" t="s">
        <v>56</v>
      </c>
      <c r="D34" s="6" t="s">
        <v>17</v>
      </c>
      <c r="E34" s="6" t="s">
        <v>5</v>
      </c>
    </row>
    <row r="35" spans="1:5">
      <c r="A35" s="6" t="s">
        <v>58</v>
      </c>
      <c r="B35" s="6" t="s">
        <v>20</v>
      </c>
      <c r="C35" s="6" t="s">
        <v>56</v>
      </c>
      <c r="D35" s="6" t="s">
        <v>23</v>
      </c>
      <c r="E35" s="6" t="s">
        <v>5</v>
      </c>
    </row>
    <row r="36" spans="1:5" ht="28.8">
      <c r="A36" s="6" t="s">
        <v>59</v>
      </c>
      <c r="B36" s="6" t="s">
        <v>20</v>
      </c>
      <c r="C36" s="6" t="s">
        <v>56</v>
      </c>
      <c r="D36" s="6" t="s">
        <v>23</v>
      </c>
      <c r="E36" s="6" t="s">
        <v>5</v>
      </c>
    </row>
    <row r="37" spans="1:5">
      <c r="A37" s="6" t="s">
        <v>60</v>
      </c>
      <c r="B37" s="6" t="s">
        <v>20</v>
      </c>
      <c r="C37" s="6" t="s">
        <v>56</v>
      </c>
      <c r="D37" s="6" t="s">
        <v>23</v>
      </c>
      <c r="E37" s="6" t="s">
        <v>5</v>
      </c>
    </row>
    <row r="38" spans="1:5" ht="28.8">
      <c r="A38" s="6" t="s">
        <v>61</v>
      </c>
      <c r="B38" s="6" t="s">
        <v>20</v>
      </c>
      <c r="C38" s="6" t="s">
        <v>56</v>
      </c>
      <c r="D38" s="6" t="s">
        <v>17</v>
      </c>
      <c r="E38" s="6" t="s">
        <v>5</v>
      </c>
    </row>
    <row r="39" spans="1:5">
      <c r="A39" s="6" t="s">
        <v>62</v>
      </c>
      <c r="B39" s="6" t="s">
        <v>15</v>
      </c>
      <c r="C39" s="6" t="s">
        <v>62</v>
      </c>
      <c r="D39" s="6" t="s">
        <v>17</v>
      </c>
      <c r="E39" s="6" t="s">
        <v>5</v>
      </c>
    </row>
    <row r="40" spans="1:5">
      <c r="A40" s="6" t="s">
        <v>63</v>
      </c>
      <c r="B40" s="6" t="s">
        <v>20</v>
      </c>
      <c r="C40" s="6" t="s">
        <v>62</v>
      </c>
      <c r="D40" s="6" t="s">
        <v>17</v>
      </c>
      <c r="E40" s="6" t="s">
        <v>5</v>
      </c>
    </row>
    <row r="41" spans="1:5">
      <c r="A41" s="6" t="s">
        <v>64</v>
      </c>
      <c r="B41" s="6" t="s">
        <v>20</v>
      </c>
      <c r="C41" s="6" t="s">
        <v>62</v>
      </c>
      <c r="D41" s="6" t="s">
        <v>17</v>
      </c>
      <c r="E41" s="6" t="s">
        <v>5</v>
      </c>
    </row>
    <row r="42" spans="1:5">
      <c r="A42" s="6" t="s">
        <v>65</v>
      </c>
      <c r="B42" s="6" t="s">
        <v>20</v>
      </c>
      <c r="C42" s="6" t="s">
        <v>62</v>
      </c>
      <c r="D42" s="6" t="s">
        <v>23</v>
      </c>
      <c r="E42" s="6" t="s">
        <v>5</v>
      </c>
    </row>
    <row r="43" spans="1:5">
      <c r="A43" s="6" t="s">
        <v>66</v>
      </c>
      <c r="B43" s="6" t="s">
        <v>20</v>
      </c>
      <c r="C43" s="6" t="s">
        <v>62</v>
      </c>
      <c r="D43" s="6" t="s">
        <v>23</v>
      </c>
      <c r="E43" s="6" t="s">
        <v>5</v>
      </c>
    </row>
    <row r="44" spans="1:5" ht="28.8">
      <c r="A44" s="6" t="s">
        <v>67</v>
      </c>
      <c r="B44" s="6" t="s">
        <v>20</v>
      </c>
      <c r="C44" s="6" t="s">
        <v>62</v>
      </c>
      <c r="D44" s="6" t="s">
        <v>23</v>
      </c>
      <c r="E44" s="6" t="s">
        <v>5</v>
      </c>
    </row>
    <row r="45" spans="1:5">
      <c r="A45" s="6" t="s">
        <v>68</v>
      </c>
      <c r="B45" s="6" t="s">
        <v>20</v>
      </c>
      <c r="C45" s="6" t="s">
        <v>62</v>
      </c>
      <c r="D45" s="6" t="s">
        <v>23</v>
      </c>
      <c r="E45" s="6" t="s">
        <v>5</v>
      </c>
    </row>
    <row r="46" spans="1:5">
      <c r="A46" s="6" t="s">
        <v>69</v>
      </c>
      <c r="B46" s="6" t="s">
        <v>20</v>
      </c>
      <c r="C46" s="6" t="s">
        <v>62</v>
      </c>
      <c r="D46" s="6" t="s">
        <v>17</v>
      </c>
      <c r="E46" s="6" t="s">
        <v>5</v>
      </c>
    </row>
    <row r="47" spans="1:5">
      <c r="A47" s="6" t="s">
        <v>70</v>
      </c>
      <c r="B47" s="6" t="s">
        <v>15</v>
      </c>
      <c r="C47" s="6" t="s">
        <v>70</v>
      </c>
      <c r="D47" s="6" t="s">
        <v>17</v>
      </c>
      <c r="E47" s="6" t="s">
        <v>5</v>
      </c>
    </row>
    <row r="48" spans="1:5">
      <c r="A48" s="6" t="s">
        <v>71</v>
      </c>
      <c r="B48" s="6" t="s">
        <v>20</v>
      </c>
      <c r="C48" s="6" t="s">
        <v>70</v>
      </c>
      <c r="D48" s="6" t="s">
        <v>17</v>
      </c>
      <c r="E48" s="6" t="s">
        <v>5</v>
      </c>
    </row>
    <row r="49" spans="1:5">
      <c r="A49" s="6" t="s">
        <v>72</v>
      </c>
      <c r="B49" s="6" t="s">
        <v>20</v>
      </c>
      <c r="C49" s="6" t="s">
        <v>70</v>
      </c>
      <c r="D49" s="6" t="s">
        <v>23</v>
      </c>
      <c r="E49" s="6" t="s">
        <v>5</v>
      </c>
    </row>
    <row r="50" spans="1:5">
      <c r="A50" s="6" t="s">
        <v>73</v>
      </c>
      <c r="B50" s="6" t="s">
        <v>20</v>
      </c>
      <c r="C50" s="6" t="s">
        <v>70</v>
      </c>
      <c r="D50" s="6" t="s">
        <v>17</v>
      </c>
      <c r="E50" s="6" t="s">
        <v>5</v>
      </c>
    </row>
    <row r="51" spans="1:5">
      <c r="A51" s="6" t="s">
        <v>74</v>
      </c>
      <c r="B51" s="6" t="s">
        <v>20</v>
      </c>
      <c r="C51" s="6" t="s">
        <v>70</v>
      </c>
      <c r="D51" s="6" t="s">
        <v>23</v>
      </c>
      <c r="E51" s="6" t="s">
        <v>5</v>
      </c>
    </row>
    <row r="52" spans="1:5">
      <c r="A52" s="6" t="s">
        <v>75</v>
      </c>
      <c r="B52" s="6" t="s">
        <v>20</v>
      </c>
      <c r="C52" s="6" t="s">
        <v>70</v>
      </c>
      <c r="D52" s="6" t="s">
        <v>17</v>
      </c>
      <c r="E52" s="6" t="s">
        <v>5</v>
      </c>
    </row>
    <row r="53" spans="1:5">
      <c r="A53" s="6" t="s">
        <v>76</v>
      </c>
      <c r="B53" s="6" t="s">
        <v>15</v>
      </c>
      <c r="C53" s="6" t="s">
        <v>76</v>
      </c>
      <c r="D53" s="6" t="s">
        <v>17</v>
      </c>
      <c r="E53" s="6" t="s">
        <v>5</v>
      </c>
    </row>
    <row r="54" spans="1:5">
      <c r="A54" s="6" t="s">
        <v>77</v>
      </c>
      <c r="B54" s="6" t="s">
        <v>20</v>
      </c>
      <c r="C54" s="6" t="s">
        <v>76</v>
      </c>
      <c r="D54" s="6" t="s">
        <v>17</v>
      </c>
      <c r="E54" s="6" t="s">
        <v>5</v>
      </c>
    </row>
    <row r="55" spans="1:5" ht="43.2">
      <c r="A55" s="6" t="s">
        <v>78</v>
      </c>
      <c r="B55" s="6" t="s">
        <v>20</v>
      </c>
      <c r="C55" s="6" t="s">
        <v>76</v>
      </c>
      <c r="D55" s="6" t="s">
        <v>23</v>
      </c>
      <c r="E55" s="6" t="s">
        <v>5</v>
      </c>
    </row>
    <row r="56" spans="1:5" ht="28.8">
      <c r="A56" s="6" t="s">
        <v>79</v>
      </c>
      <c r="B56" s="6" t="s">
        <v>20</v>
      </c>
      <c r="C56" s="6" t="s">
        <v>76</v>
      </c>
      <c r="D56" s="6" t="s">
        <v>23</v>
      </c>
      <c r="E56" s="6" t="s">
        <v>5</v>
      </c>
    </row>
    <row r="57" spans="1:5">
      <c r="A57" s="6" t="s">
        <v>80</v>
      </c>
      <c r="B57" s="6" t="s">
        <v>20</v>
      </c>
      <c r="C57" s="6" t="s">
        <v>76</v>
      </c>
      <c r="D57" s="6" t="s">
        <v>23</v>
      </c>
      <c r="E57" s="6" t="s">
        <v>5</v>
      </c>
    </row>
    <row r="58" spans="1:5">
      <c r="A58" s="6" t="s">
        <v>81</v>
      </c>
      <c r="B58" s="6" t="s">
        <v>15</v>
      </c>
      <c r="C58" s="6" t="s">
        <v>81</v>
      </c>
      <c r="D58" s="6" t="s">
        <v>17</v>
      </c>
      <c r="E58" s="6" t="s">
        <v>5</v>
      </c>
    </row>
    <row r="59" spans="1:5">
      <c r="A59" s="6" t="s">
        <v>82</v>
      </c>
      <c r="B59" s="6" t="s">
        <v>20</v>
      </c>
      <c r="C59" s="6" t="s">
        <v>81</v>
      </c>
      <c r="D59" s="6" t="s">
        <v>17</v>
      </c>
      <c r="E59" s="6" t="s">
        <v>5</v>
      </c>
    </row>
    <row r="60" spans="1:5" ht="28.8">
      <c r="A60" s="6" t="s">
        <v>83</v>
      </c>
      <c r="B60" s="6" t="s">
        <v>20</v>
      </c>
      <c r="C60" s="6" t="s">
        <v>81</v>
      </c>
      <c r="D60" s="6" t="s">
        <v>23</v>
      </c>
      <c r="E60" s="6" t="s">
        <v>5</v>
      </c>
    </row>
    <row r="61" spans="1:5" ht="28.8">
      <c r="A61" s="6" t="s">
        <v>84</v>
      </c>
      <c r="B61" s="6" t="s">
        <v>20</v>
      </c>
      <c r="C61" s="6" t="s">
        <v>81</v>
      </c>
      <c r="D61" s="6" t="s">
        <v>23</v>
      </c>
      <c r="E61" s="6" t="s">
        <v>5</v>
      </c>
    </row>
    <row r="62" spans="1:5">
      <c r="A62" s="6" t="s">
        <v>85</v>
      </c>
      <c r="B62" s="6" t="s">
        <v>20</v>
      </c>
      <c r="C62" s="6" t="s">
        <v>81</v>
      </c>
      <c r="D62" s="6" t="s">
        <v>17</v>
      </c>
      <c r="E62" s="6" t="s">
        <v>5</v>
      </c>
    </row>
    <row r="63" spans="1:5">
      <c r="A63" s="6" t="s">
        <v>86</v>
      </c>
      <c r="B63" s="6" t="s">
        <v>20</v>
      </c>
      <c r="C63" s="6" t="s">
        <v>81</v>
      </c>
      <c r="D63" s="6" t="s">
        <v>50</v>
      </c>
      <c r="E63" s="6" t="s">
        <v>5</v>
      </c>
    </row>
    <row r="64" spans="1:5">
      <c r="A64" s="6" t="s">
        <v>87</v>
      </c>
      <c r="B64" s="6" t="s">
        <v>20</v>
      </c>
      <c r="C64" s="6" t="s">
        <v>81</v>
      </c>
      <c r="D64" s="6" t="s">
        <v>50</v>
      </c>
      <c r="E64" s="6" t="s">
        <v>5</v>
      </c>
    </row>
    <row r="65" spans="1:5">
      <c r="A65" s="6" t="s">
        <v>88</v>
      </c>
      <c r="B65" s="6" t="s">
        <v>20</v>
      </c>
      <c r="C65" s="6" t="s">
        <v>81</v>
      </c>
      <c r="D65" s="6" t="s">
        <v>50</v>
      </c>
      <c r="E65" s="6" t="s">
        <v>5</v>
      </c>
    </row>
    <row r="66" spans="1:5">
      <c r="A66" s="6" t="s">
        <v>89</v>
      </c>
      <c r="B66" s="6" t="s">
        <v>20</v>
      </c>
      <c r="C66" s="6" t="s">
        <v>81</v>
      </c>
      <c r="D66" s="6" t="s">
        <v>23</v>
      </c>
      <c r="E66" s="6" t="s">
        <v>5</v>
      </c>
    </row>
    <row r="67" spans="1:5">
      <c r="A67" s="6" t="s">
        <v>90</v>
      </c>
      <c r="B67" s="6" t="s">
        <v>15</v>
      </c>
      <c r="C67" s="6" t="s">
        <v>90</v>
      </c>
      <c r="D67" s="6" t="s">
        <v>17</v>
      </c>
      <c r="E67" s="6" t="s">
        <v>5</v>
      </c>
    </row>
    <row r="68" spans="1:5">
      <c r="A68" s="6" t="s">
        <v>91</v>
      </c>
      <c r="B68" s="6" t="s">
        <v>20</v>
      </c>
      <c r="C68" s="6" t="s">
        <v>90</v>
      </c>
      <c r="D68" s="6" t="s">
        <v>23</v>
      </c>
      <c r="E68" s="6" t="s">
        <v>5</v>
      </c>
    </row>
    <row r="69" spans="1:5">
      <c r="A69" s="6" t="s">
        <v>92</v>
      </c>
      <c r="B69" s="6" t="s">
        <v>20</v>
      </c>
      <c r="C69" s="6" t="s">
        <v>90</v>
      </c>
      <c r="D69" s="6" t="s">
        <v>23</v>
      </c>
      <c r="E69" s="6" t="s">
        <v>5</v>
      </c>
    </row>
    <row r="70" spans="1:5" ht="28.8">
      <c r="A70" s="6" t="s">
        <v>93</v>
      </c>
      <c r="B70" s="6" t="s">
        <v>20</v>
      </c>
      <c r="C70" s="6" t="s">
        <v>90</v>
      </c>
      <c r="D70" s="6" t="s">
        <v>23</v>
      </c>
      <c r="E70" s="6" t="s">
        <v>5</v>
      </c>
    </row>
    <row r="71" spans="1:5">
      <c r="A71" s="6" t="s">
        <v>94</v>
      </c>
      <c r="B71" s="6" t="s">
        <v>15</v>
      </c>
      <c r="C71" s="6" t="s">
        <v>94</v>
      </c>
      <c r="D71" s="6" t="s">
        <v>17</v>
      </c>
      <c r="E71" s="6" t="s">
        <v>5</v>
      </c>
    </row>
    <row r="72" spans="1:5" ht="28.8">
      <c r="A72" s="6" t="s">
        <v>95</v>
      </c>
      <c r="B72" s="6" t="s">
        <v>20</v>
      </c>
      <c r="C72" s="6" t="s">
        <v>94</v>
      </c>
      <c r="D72" s="6" t="s">
        <v>17</v>
      </c>
      <c r="E72" s="6" t="s">
        <v>5</v>
      </c>
    </row>
    <row r="73" spans="1:5">
      <c r="A73" s="6" t="s">
        <v>96</v>
      </c>
      <c r="B73" s="6" t="s">
        <v>20</v>
      </c>
      <c r="C73" s="6" t="s">
        <v>94</v>
      </c>
      <c r="D73" s="6" t="s">
        <v>17</v>
      </c>
      <c r="E73" s="6" t="s">
        <v>5</v>
      </c>
    </row>
    <row r="74" spans="1:5">
      <c r="A74" s="6" t="s">
        <v>97</v>
      </c>
      <c r="B74" s="6" t="s">
        <v>20</v>
      </c>
      <c r="C74" s="6" t="s">
        <v>94</v>
      </c>
      <c r="D74" s="6" t="s">
        <v>17</v>
      </c>
      <c r="E74" s="6" t="s">
        <v>5</v>
      </c>
    </row>
    <row r="75" spans="1:5" ht="28.8">
      <c r="A75" s="6" t="s">
        <v>98</v>
      </c>
      <c r="B75" s="6" t="s">
        <v>20</v>
      </c>
      <c r="C75" s="6" t="s">
        <v>94</v>
      </c>
      <c r="D75" s="6" t="s">
        <v>23</v>
      </c>
      <c r="E75" s="6" t="s">
        <v>5</v>
      </c>
    </row>
    <row r="76" spans="1:5">
      <c r="A76" s="6" t="s">
        <v>99</v>
      </c>
      <c r="B76" s="6" t="s">
        <v>20</v>
      </c>
      <c r="C76" s="6" t="s">
        <v>94</v>
      </c>
      <c r="D76" s="6" t="s">
        <v>23</v>
      </c>
      <c r="E76" s="6" t="s">
        <v>5</v>
      </c>
    </row>
    <row r="77" spans="1:5">
      <c r="A77" s="6" t="s">
        <v>100</v>
      </c>
      <c r="B77" s="6" t="s">
        <v>20</v>
      </c>
      <c r="C77" s="6" t="s">
        <v>94</v>
      </c>
      <c r="D77" s="6" t="s">
        <v>17</v>
      </c>
      <c r="E77" s="6" t="s">
        <v>5</v>
      </c>
    </row>
    <row r="78" spans="1:5" ht="28.8">
      <c r="A78" s="6" t="s">
        <v>101</v>
      </c>
      <c r="B78" s="6" t="s">
        <v>20</v>
      </c>
      <c r="C78" s="6" t="s">
        <v>94</v>
      </c>
      <c r="D78" s="6" t="s">
        <v>17</v>
      </c>
      <c r="E78" s="6" t="s">
        <v>5</v>
      </c>
    </row>
    <row r="79" spans="1:5">
      <c r="A79" s="6" t="s">
        <v>102</v>
      </c>
      <c r="B79" s="6" t="s">
        <v>20</v>
      </c>
      <c r="C79" s="6" t="s">
        <v>94</v>
      </c>
      <c r="D79" s="6" t="s">
        <v>23</v>
      </c>
      <c r="E79" s="6" t="s">
        <v>5</v>
      </c>
    </row>
    <row r="80" spans="1:5" ht="28.8">
      <c r="A80" s="6" t="s">
        <v>103</v>
      </c>
      <c r="B80" s="6" t="s">
        <v>20</v>
      </c>
      <c r="C80" s="6" t="s">
        <v>94</v>
      </c>
      <c r="D80" s="6" t="s">
        <v>17</v>
      </c>
      <c r="E80" s="6" t="s">
        <v>5</v>
      </c>
    </row>
    <row r="81" spans="1:5">
      <c r="A81" s="6" t="s">
        <v>104</v>
      </c>
      <c r="B81" s="6" t="s">
        <v>15</v>
      </c>
      <c r="C81" s="6" t="s">
        <v>104</v>
      </c>
      <c r="D81" s="6" t="s">
        <v>17</v>
      </c>
      <c r="E81" s="6" t="s">
        <v>5</v>
      </c>
    </row>
    <row r="82" spans="1:5" ht="28.8">
      <c r="A82" s="6" t="s">
        <v>105</v>
      </c>
      <c r="B82" s="6" t="s">
        <v>20</v>
      </c>
      <c r="C82" s="6" t="s">
        <v>104</v>
      </c>
      <c r="D82" s="6" t="s">
        <v>23</v>
      </c>
      <c r="E82" s="6" t="s">
        <v>5</v>
      </c>
    </row>
    <row r="83" spans="1:5">
      <c r="A83" s="6" t="s">
        <v>106</v>
      </c>
      <c r="B83" s="6" t="s">
        <v>20</v>
      </c>
      <c r="C83" s="6" t="s">
        <v>104</v>
      </c>
      <c r="D83" s="6" t="s">
        <v>50</v>
      </c>
      <c r="E83" s="6" t="s">
        <v>5</v>
      </c>
    </row>
    <row r="84" spans="1:5">
      <c r="A84" s="6" t="s">
        <v>107</v>
      </c>
      <c r="B84" s="6" t="s">
        <v>20</v>
      </c>
      <c r="C84" s="6" t="s">
        <v>104</v>
      </c>
      <c r="D84" s="6" t="s">
        <v>50</v>
      </c>
      <c r="E84" s="6" t="s">
        <v>5</v>
      </c>
    </row>
    <row r="85" spans="1:5">
      <c r="A85" s="6" t="s">
        <v>108</v>
      </c>
      <c r="B85" s="6" t="s">
        <v>20</v>
      </c>
      <c r="C85" s="6" t="s">
        <v>104</v>
      </c>
      <c r="D85" s="6" t="s">
        <v>50</v>
      </c>
      <c r="E85" s="6" t="s">
        <v>5</v>
      </c>
    </row>
    <row r="86" spans="1:5">
      <c r="A86" s="6" t="s">
        <v>109</v>
      </c>
      <c r="B86" s="6" t="s">
        <v>20</v>
      </c>
      <c r="C86" s="6" t="s">
        <v>104</v>
      </c>
      <c r="D86" s="6" t="s">
        <v>50</v>
      </c>
      <c r="E86" s="6" t="s">
        <v>5</v>
      </c>
    </row>
    <row r="87" spans="1:5">
      <c r="A87" s="6" t="s">
        <v>110</v>
      </c>
      <c r="B87" s="6" t="s">
        <v>20</v>
      </c>
      <c r="C87" s="6" t="s">
        <v>104</v>
      </c>
      <c r="D87" s="6" t="s">
        <v>50</v>
      </c>
      <c r="E87" s="6" t="s">
        <v>5</v>
      </c>
    </row>
    <row r="88" spans="1:5">
      <c r="A88" s="6" t="s">
        <v>111</v>
      </c>
      <c r="B88" s="6" t="s">
        <v>20</v>
      </c>
      <c r="C88" s="6" t="s">
        <v>104</v>
      </c>
      <c r="D88" s="6" t="s">
        <v>23</v>
      </c>
      <c r="E88" s="6" t="s">
        <v>5</v>
      </c>
    </row>
    <row r="89" spans="1:5">
      <c r="A89" s="6" t="s">
        <v>112</v>
      </c>
      <c r="B89" s="6" t="s">
        <v>20</v>
      </c>
      <c r="C89" s="6" t="s">
        <v>104</v>
      </c>
      <c r="D89" s="6" t="s">
        <v>23</v>
      </c>
      <c r="E89" s="6" t="s">
        <v>5</v>
      </c>
    </row>
    <row r="90" spans="1:5">
      <c r="A90" s="6" t="s">
        <v>113</v>
      </c>
      <c r="B90" s="6" t="s">
        <v>20</v>
      </c>
      <c r="C90" s="6" t="s">
        <v>104</v>
      </c>
      <c r="D90" s="6" t="s">
        <v>50</v>
      </c>
      <c r="E90" s="6" t="s">
        <v>5</v>
      </c>
    </row>
    <row r="91" spans="1:5">
      <c r="A91" s="6" t="s">
        <v>114</v>
      </c>
      <c r="B91" s="6" t="s">
        <v>20</v>
      </c>
      <c r="C91" s="6" t="s">
        <v>104</v>
      </c>
      <c r="D91" s="6" t="s">
        <v>50</v>
      </c>
      <c r="E91" s="6" t="s">
        <v>5</v>
      </c>
    </row>
    <row r="92" spans="1:5">
      <c r="A92" s="6" t="s">
        <v>115</v>
      </c>
      <c r="B92" s="6" t="s">
        <v>20</v>
      </c>
      <c r="C92" s="6" t="s">
        <v>104</v>
      </c>
      <c r="D92" s="6" t="s">
        <v>23</v>
      </c>
      <c r="E92" s="6" t="s">
        <v>5</v>
      </c>
    </row>
    <row r="93" spans="1:5">
      <c r="A93" s="6" t="s">
        <v>116</v>
      </c>
      <c r="B93" s="6" t="s">
        <v>20</v>
      </c>
      <c r="C93" s="6" t="s">
        <v>104</v>
      </c>
      <c r="D93" s="6" t="s">
        <v>50</v>
      </c>
      <c r="E93" s="6" t="s">
        <v>5</v>
      </c>
    </row>
    <row r="94" spans="1:5" ht="28.8">
      <c r="A94" s="6" t="s">
        <v>117</v>
      </c>
      <c r="B94" s="6" t="s">
        <v>20</v>
      </c>
      <c r="C94" s="6" t="s">
        <v>104</v>
      </c>
      <c r="D94" s="6" t="s">
        <v>17</v>
      </c>
      <c r="E94" s="6" t="s">
        <v>5</v>
      </c>
    </row>
    <row r="95" spans="1:5">
      <c r="A95" s="6" t="s">
        <v>118</v>
      </c>
      <c r="B95" s="6" t="s">
        <v>20</v>
      </c>
      <c r="C95" s="6" t="s">
        <v>104</v>
      </c>
      <c r="D95" s="6" t="s">
        <v>50</v>
      </c>
      <c r="E95" s="6" t="s">
        <v>5</v>
      </c>
    </row>
    <row r="96" spans="1:5">
      <c r="A96" s="6" t="s">
        <v>119</v>
      </c>
      <c r="B96" s="6" t="s">
        <v>15</v>
      </c>
      <c r="C96" s="6" t="s">
        <v>119</v>
      </c>
      <c r="D96" s="6" t="s">
        <v>17</v>
      </c>
      <c r="E96" s="6" t="s">
        <v>5</v>
      </c>
    </row>
    <row r="97" spans="1:5">
      <c r="A97" s="6" t="s">
        <v>120</v>
      </c>
      <c r="B97" s="6" t="s">
        <v>20</v>
      </c>
      <c r="C97" s="6" t="s">
        <v>119</v>
      </c>
      <c r="D97" s="6" t="s">
        <v>23</v>
      </c>
      <c r="E97" s="6" t="s">
        <v>5</v>
      </c>
    </row>
    <row r="98" spans="1:5">
      <c r="A98" s="6" t="s">
        <v>121</v>
      </c>
      <c r="B98" s="6" t="s">
        <v>20</v>
      </c>
      <c r="C98" s="6" t="s">
        <v>119</v>
      </c>
      <c r="D98" s="6" t="s">
        <v>23</v>
      </c>
      <c r="E98" s="6" t="s">
        <v>5</v>
      </c>
    </row>
    <row r="99" spans="1:5" ht="28.8">
      <c r="A99" s="6" t="s">
        <v>122</v>
      </c>
      <c r="B99" s="6" t="s">
        <v>20</v>
      </c>
      <c r="C99" s="6" t="s">
        <v>119</v>
      </c>
      <c r="D99" s="6" t="s">
        <v>50</v>
      </c>
      <c r="E99" s="6" t="s">
        <v>5</v>
      </c>
    </row>
    <row r="100" spans="1:5">
      <c r="A100" s="6" t="s">
        <v>123</v>
      </c>
      <c r="B100" s="6" t="s">
        <v>20</v>
      </c>
      <c r="C100" s="6" t="s">
        <v>119</v>
      </c>
      <c r="D100" s="6" t="s">
        <v>50</v>
      </c>
      <c r="E100" s="6" t="s">
        <v>5</v>
      </c>
    </row>
    <row r="101" spans="1:5">
      <c r="A101" s="6" t="s">
        <v>124</v>
      </c>
      <c r="B101" s="6" t="s">
        <v>20</v>
      </c>
      <c r="C101" s="6" t="s">
        <v>119</v>
      </c>
      <c r="D101" s="6" t="s">
        <v>50</v>
      </c>
      <c r="E101" s="6" t="s">
        <v>5</v>
      </c>
    </row>
    <row r="102" spans="1:5" ht="28.8">
      <c r="A102" s="6" t="s">
        <v>125</v>
      </c>
      <c r="B102" s="6" t="s">
        <v>20</v>
      </c>
      <c r="C102" s="6" t="s">
        <v>119</v>
      </c>
      <c r="D102" s="6" t="s">
        <v>23</v>
      </c>
      <c r="E102" s="6" t="s">
        <v>5</v>
      </c>
    </row>
    <row r="103" spans="1:5" ht="28.8">
      <c r="A103" s="6" t="s">
        <v>126</v>
      </c>
      <c r="B103" s="6" t="s">
        <v>20</v>
      </c>
      <c r="C103" s="6" t="s">
        <v>119</v>
      </c>
      <c r="D103" s="6" t="s">
        <v>50</v>
      </c>
      <c r="E103" s="6" t="s">
        <v>5</v>
      </c>
    </row>
    <row r="104" spans="1:5">
      <c r="A104" s="6" t="s">
        <v>127</v>
      </c>
      <c r="B104" s="6" t="s">
        <v>20</v>
      </c>
      <c r="C104" s="6" t="s">
        <v>119</v>
      </c>
      <c r="D104" s="6" t="s">
        <v>50</v>
      </c>
      <c r="E104" s="6" t="s">
        <v>5</v>
      </c>
    </row>
    <row r="105" spans="1:5">
      <c r="A105" s="6" t="s">
        <v>128</v>
      </c>
      <c r="B105" s="6" t="s">
        <v>20</v>
      </c>
      <c r="C105" s="6" t="s">
        <v>119</v>
      </c>
      <c r="D105" s="6" t="s">
        <v>23</v>
      </c>
      <c r="E105" s="6" t="s">
        <v>5</v>
      </c>
    </row>
    <row r="106" spans="1:5">
      <c r="A106" s="6" t="s">
        <v>129</v>
      </c>
      <c r="B106" s="6" t="s">
        <v>20</v>
      </c>
      <c r="C106" s="6" t="s">
        <v>119</v>
      </c>
      <c r="D106" s="6" t="s">
        <v>23</v>
      </c>
      <c r="E106" s="6" t="s">
        <v>5</v>
      </c>
    </row>
    <row r="107" spans="1:5" ht="28.8">
      <c r="A107" s="6" t="s">
        <v>130</v>
      </c>
      <c r="B107" s="6" t="s">
        <v>20</v>
      </c>
      <c r="C107" s="6" t="s">
        <v>119</v>
      </c>
      <c r="D107" s="6" t="s">
        <v>50</v>
      </c>
      <c r="E107" s="6" t="s">
        <v>5</v>
      </c>
    </row>
    <row r="108" spans="1:5">
      <c r="A108" s="6" t="s">
        <v>131</v>
      </c>
      <c r="B108" s="6" t="s">
        <v>20</v>
      </c>
      <c r="C108" s="6" t="s">
        <v>119</v>
      </c>
      <c r="D108" s="6" t="s">
        <v>23</v>
      </c>
      <c r="E108" s="6" t="s">
        <v>5</v>
      </c>
    </row>
    <row r="109" spans="1:5">
      <c r="A109" s="6" t="s">
        <v>132</v>
      </c>
      <c r="B109" s="6" t="s">
        <v>15</v>
      </c>
      <c r="C109" s="6" t="s">
        <v>132</v>
      </c>
      <c r="D109" s="6" t="s">
        <v>17</v>
      </c>
      <c r="E109" s="6" t="s">
        <v>5</v>
      </c>
    </row>
    <row r="110" spans="1:5">
      <c r="A110" s="6" t="s">
        <v>133</v>
      </c>
      <c r="B110" s="6" t="s">
        <v>20</v>
      </c>
      <c r="C110" s="6" t="s">
        <v>132</v>
      </c>
      <c r="D110" s="6" t="s">
        <v>23</v>
      </c>
      <c r="E110" s="6" t="s">
        <v>5</v>
      </c>
    </row>
    <row r="111" spans="1:5">
      <c r="A111" s="6" t="s">
        <v>134</v>
      </c>
      <c r="B111" s="6" t="s">
        <v>20</v>
      </c>
      <c r="C111" s="6" t="s">
        <v>132</v>
      </c>
      <c r="D111" s="6" t="s">
        <v>23</v>
      </c>
      <c r="E111" s="6" t="s">
        <v>5</v>
      </c>
    </row>
    <row r="112" spans="1:5">
      <c r="A112" s="6" t="s">
        <v>135</v>
      </c>
      <c r="B112" s="6" t="s">
        <v>20</v>
      </c>
      <c r="C112" s="6" t="s">
        <v>132</v>
      </c>
      <c r="D112" s="6" t="s">
        <v>50</v>
      </c>
      <c r="E112" s="6" t="s">
        <v>5</v>
      </c>
    </row>
    <row r="113" spans="1:5">
      <c r="A113" s="6" t="s">
        <v>136</v>
      </c>
      <c r="B113" s="6" t="s">
        <v>20</v>
      </c>
      <c r="C113" s="6" t="s">
        <v>132</v>
      </c>
      <c r="D113" s="6" t="s">
        <v>23</v>
      </c>
      <c r="E113" s="6" t="s">
        <v>5</v>
      </c>
    </row>
    <row r="114" spans="1:5">
      <c r="A114" s="6" t="s">
        <v>137</v>
      </c>
      <c r="B114" s="6" t="s">
        <v>20</v>
      </c>
      <c r="C114" s="6" t="s">
        <v>132</v>
      </c>
      <c r="D114" s="6" t="s">
        <v>23</v>
      </c>
      <c r="E114" s="6" t="s">
        <v>5</v>
      </c>
    </row>
    <row r="115" spans="1:5" ht="28.8">
      <c r="A115" s="6" t="s">
        <v>138</v>
      </c>
      <c r="B115" s="6" t="s">
        <v>20</v>
      </c>
      <c r="C115" s="6" t="s">
        <v>132</v>
      </c>
      <c r="D115" s="6" t="s">
        <v>23</v>
      </c>
      <c r="E115" s="6" t="s">
        <v>5</v>
      </c>
    </row>
    <row r="116" spans="1:5">
      <c r="A116" s="6" t="s">
        <v>139</v>
      </c>
      <c r="B116" s="6" t="s">
        <v>15</v>
      </c>
      <c r="C116" s="6" t="s">
        <v>139</v>
      </c>
      <c r="D116" s="6" t="s">
        <v>17</v>
      </c>
      <c r="E116" s="6" t="s">
        <v>5</v>
      </c>
    </row>
    <row r="117" spans="1:5">
      <c r="A117" s="6" t="s">
        <v>140</v>
      </c>
      <c r="B117" s="6" t="s">
        <v>20</v>
      </c>
      <c r="C117" s="6" t="s">
        <v>139</v>
      </c>
      <c r="D117" s="6" t="s">
        <v>23</v>
      </c>
      <c r="E117" s="6" t="s">
        <v>5</v>
      </c>
    </row>
    <row r="118" spans="1:5">
      <c r="A118" s="6" t="s">
        <v>141</v>
      </c>
      <c r="B118" s="6" t="s">
        <v>20</v>
      </c>
      <c r="C118" s="6" t="s">
        <v>139</v>
      </c>
      <c r="D118" s="6" t="s">
        <v>23</v>
      </c>
      <c r="E118" s="6" t="s">
        <v>5</v>
      </c>
    </row>
    <row r="119" spans="1:5">
      <c r="A119" s="6" t="s">
        <v>142</v>
      </c>
      <c r="B119" s="6" t="s">
        <v>20</v>
      </c>
      <c r="C119" s="6" t="s">
        <v>139</v>
      </c>
      <c r="D119" s="6" t="s">
        <v>50</v>
      </c>
      <c r="E119" s="6" t="s">
        <v>5</v>
      </c>
    </row>
    <row r="120" spans="1:5">
      <c r="A120" s="6" t="s">
        <v>143</v>
      </c>
      <c r="B120" s="6" t="s">
        <v>20</v>
      </c>
      <c r="C120" s="6" t="s">
        <v>139</v>
      </c>
      <c r="D120" s="6" t="s">
        <v>50</v>
      </c>
      <c r="E120" s="6" t="s">
        <v>5</v>
      </c>
    </row>
    <row r="121" spans="1:5">
      <c r="A121" s="6" t="s">
        <v>144</v>
      </c>
      <c r="B121" s="6" t="s">
        <v>20</v>
      </c>
      <c r="C121" s="6" t="s">
        <v>139</v>
      </c>
      <c r="D121" s="6" t="s">
        <v>23</v>
      </c>
      <c r="E121" s="6" t="s">
        <v>5</v>
      </c>
    </row>
    <row r="122" spans="1:5">
      <c r="A122" s="6" t="s">
        <v>145</v>
      </c>
      <c r="B122" s="6" t="s">
        <v>20</v>
      </c>
      <c r="C122" s="6" t="s">
        <v>139</v>
      </c>
      <c r="D122" s="6" t="s">
        <v>23</v>
      </c>
      <c r="E122" s="6" t="s">
        <v>5</v>
      </c>
    </row>
    <row r="123" spans="1:5">
      <c r="A123" s="6" t="s">
        <v>146</v>
      </c>
      <c r="B123" s="6" t="s">
        <v>20</v>
      </c>
      <c r="C123" s="6" t="s">
        <v>139</v>
      </c>
      <c r="D123" s="6" t="s">
        <v>23</v>
      </c>
      <c r="E123" s="6" t="s">
        <v>5</v>
      </c>
    </row>
    <row r="124" spans="1:5">
      <c r="A124" s="6" t="s">
        <v>147</v>
      </c>
      <c r="B124" s="6" t="s">
        <v>20</v>
      </c>
      <c r="C124" s="6" t="s">
        <v>139</v>
      </c>
      <c r="D124" s="6" t="s">
        <v>17</v>
      </c>
      <c r="E124" s="6" t="s">
        <v>5</v>
      </c>
    </row>
    <row r="125" spans="1:5">
      <c r="A125" s="6" t="s">
        <v>148</v>
      </c>
      <c r="B125" s="6" t="s">
        <v>15</v>
      </c>
      <c r="C125" s="6" t="s">
        <v>148</v>
      </c>
      <c r="D125" s="6" t="s">
        <v>17</v>
      </c>
      <c r="E125" s="6" t="s">
        <v>5</v>
      </c>
    </row>
    <row r="126" spans="1:5">
      <c r="A126" s="6" t="s">
        <v>149</v>
      </c>
      <c r="B126" s="6" t="s">
        <v>20</v>
      </c>
      <c r="C126" s="6" t="s">
        <v>148</v>
      </c>
      <c r="D126" s="6" t="s">
        <v>17</v>
      </c>
      <c r="E126" s="6" t="s">
        <v>5</v>
      </c>
    </row>
    <row r="127" spans="1:5">
      <c r="A127" s="6" t="s">
        <v>150</v>
      </c>
      <c r="B127" s="6" t="s">
        <v>20</v>
      </c>
      <c r="C127" s="6" t="s">
        <v>148</v>
      </c>
      <c r="D127" s="6" t="s">
        <v>17</v>
      </c>
      <c r="E127" s="6" t="s">
        <v>5</v>
      </c>
    </row>
    <row r="128" spans="1:5" ht="28.8">
      <c r="A128" s="6" t="s">
        <v>151</v>
      </c>
      <c r="B128" s="6" t="s">
        <v>20</v>
      </c>
      <c r="C128" s="6" t="s">
        <v>148</v>
      </c>
      <c r="D128" s="6" t="s">
        <v>50</v>
      </c>
      <c r="E128" s="6" t="s">
        <v>5</v>
      </c>
    </row>
    <row r="129" spans="1:5">
      <c r="A129" s="6" t="s">
        <v>152</v>
      </c>
      <c r="B129" s="6" t="s">
        <v>20</v>
      </c>
      <c r="C129" s="6" t="s">
        <v>148</v>
      </c>
      <c r="D129" s="6" t="s">
        <v>23</v>
      </c>
      <c r="E129" s="6" t="s">
        <v>5</v>
      </c>
    </row>
    <row r="130" spans="1:5">
      <c r="A130" s="6" t="s">
        <v>153</v>
      </c>
      <c r="B130" s="6" t="s">
        <v>20</v>
      </c>
      <c r="C130" s="6" t="s">
        <v>148</v>
      </c>
      <c r="D130" s="6" t="s">
        <v>23</v>
      </c>
      <c r="E130" s="6" t="s">
        <v>5</v>
      </c>
    </row>
    <row r="131" spans="1:5">
      <c r="A131" s="6" t="s">
        <v>154</v>
      </c>
      <c r="B131" s="6" t="s">
        <v>20</v>
      </c>
      <c r="C131" s="6" t="s">
        <v>148</v>
      </c>
      <c r="D131" s="6" t="s">
        <v>23</v>
      </c>
      <c r="E131" s="6" t="s">
        <v>5</v>
      </c>
    </row>
    <row r="132" spans="1:5">
      <c r="A132" s="6" t="s">
        <v>155</v>
      </c>
      <c r="B132" s="6" t="s">
        <v>15</v>
      </c>
      <c r="C132" s="6" t="s">
        <v>155</v>
      </c>
      <c r="D132" s="6" t="s">
        <v>17</v>
      </c>
      <c r="E132" s="6" t="s">
        <v>5</v>
      </c>
    </row>
    <row r="133" spans="1:5">
      <c r="A133" s="6" t="s">
        <v>156</v>
      </c>
      <c r="B133" s="6" t="s">
        <v>20</v>
      </c>
      <c r="C133" s="6" t="s">
        <v>155</v>
      </c>
      <c r="D133" s="6" t="s">
        <v>17</v>
      </c>
      <c r="E133" s="6" t="s">
        <v>5</v>
      </c>
    </row>
    <row r="134" spans="1:5">
      <c r="A134" s="6" t="s">
        <v>157</v>
      </c>
      <c r="B134" s="6" t="s">
        <v>20</v>
      </c>
      <c r="C134" s="6" t="s">
        <v>155</v>
      </c>
      <c r="D134" s="6" t="s">
        <v>17</v>
      </c>
      <c r="E134" s="6" t="s">
        <v>5</v>
      </c>
    </row>
    <row r="135" spans="1:5">
      <c r="A135" s="6" t="s">
        <v>158</v>
      </c>
      <c r="B135" s="6" t="s">
        <v>20</v>
      </c>
      <c r="C135" s="6" t="s">
        <v>155</v>
      </c>
      <c r="D135" s="6" t="s">
        <v>17</v>
      </c>
      <c r="E135" s="6" t="s">
        <v>5</v>
      </c>
    </row>
    <row r="136" spans="1:5">
      <c r="A136" s="6" t="s">
        <v>159</v>
      </c>
      <c r="B136" s="6" t="s">
        <v>20</v>
      </c>
      <c r="C136" s="6" t="s">
        <v>155</v>
      </c>
      <c r="D136" s="6" t="s">
        <v>23</v>
      </c>
      <c r="E136" s="6" t="s">
        <v>5</v>
      </c>
    </row>
    <row r="137" spans="1:5">
      <c r="A137" s="6" t="s">
        <v>160</v>
      </c>
      <c r="B137" s="6" t="s">
        <v>20</v>
      </c>
      <c r="C137" s="6" t="s">
        <v>155</v>
      </c>
      <c r="D137" s="6" t="s">
        <v>23</v>
      </c>
      <c r="E137" s="6" t="s">
        <v>5</v>
      </c>
    </row>
    <row r="138" spans="1:5">
      <c r="A138" s="6" t="s">
        <v>161</v>
      </c>
      <c r="B138" s="6" t="s">
        <v>20</v>
      </c>
      <c r="C138" s="6" t="s">
        <v>155</v>
      </c>
      <c r="D138" s="6" t="s">
        <v>23</v>
      </c>
      <c r="E138" s="6" t="s">
        <v>5</v>
      </c>
    </row>
    <row r="139" spans="1:5">
      <c r="A139" s="6" t="s">
        <v>162</v>
      </c>
      <c r="B139" s="6" t="s">
        <v>20</v>
      </c>
      <c r="C139" s="6" t="s">
        <v>155</v>
      </c>
      <c r="D139" s="6" t="s">
        <v>23</v>
      </c>
      <c r="E139" s="6" t="s">
        <v>5</v>
      </c>
    </row>
    <row r="140" spans="1:5">
      <c r="A140" s="6" t="s">
        <v>163</v>
      </c>
      <c r="B140" s="6" t="s">
        <v>20</v>
      </c>
      <c r="C140" s="6" t="s">
        <v>155</v>
      </c>
      <c r="D140" s="6" t="s">
        <v>23</v>
      </c>
      <c r="E140" s="6" t="s">
        <v>5</v>
      </c>
    </row>
    <row r="141" spans="1:5">
      <c r="A141" s="6" t="s">
        <v>164</v>
      </c>
      <c r="B141" s="6" t="s">
        <v>20</v>
      </c>
      <c r="C141" s="6" t="s">
        <v>155</v>
      </c>
      <c r="D141" s="6" t="s">
        <v>23</v>
      </c>
      <c r="E141" s="6" t="s">
        <v>5</v>
      </c>
    </row>
    <row r="142" spans="1:5">
      <c r="A142" s="6" t="s">
        <v>165</v>
      </c>
      <c r="B142" s="6" t="s">
        <v>20</v>
      </c>
      <c r="C142" s="6" t="s">
        <v>155</v>
      </c>
      <c r="D142" s="6" t="s">
        <v>23</v>
      </c>
      <c r="E142" s="6" t="s">
        <v>5</v>
      </c>
    </row>
    <row r="143" spans="1:5">
      <c r="A143" s="6" t="s">
        <v>166</v>
      </c>
      <c r="B143" s="6" t="s">
        <v>20</v>
      </c>
      <c r="C143" s="6" t="s">
        <v>155</v>
      </c>
      <c r="D143" s="6" t="s">
        <v>17</v>
      </c>
      <c r="E143" s="6" t="s">
        <v>5</v>
      </c>
    </row>
    <row r="144" spans="1:5">
      <c r="A144" s="6" t="s">
        <v>167</v>
      </c>
      <c r="B144" s="6" t="s">
        <v>15</v>
      </c>
      <c r="C144" s="6" t="s">
        <v>167</v>
      </c>
      <c r="D144" s="6" t="s">
        <v>17</v>
      </c>
      <c r="E144" s="6" t="s">
        <v>5</v>
      </c>
    </row>
    <row r="145" spans="1:5">
      <c r="A145" s="6" t="s">
        <v>168</v>
      </c>
      <c r="B145" s="6" t="s">
        <v>20</v>
      </c>
      <c r="C145" s="6" t="s">
        <v>167</v>
      </c>
      <c r="D145" s="6" t="s">
        <v>17</v>
      </c>
      <c r="E145" s="6" t="s">
        <v>5</v>
      </c>
    </row>
    <row r="146" spans="1:5">
      <c r="A146" s="6" t="s">
        <v>169</v>
      </c>
      <c r="B146" s="6" t="s">
        <v>20</v>
      </c>
      <c r="C146" s="6" t="s">
        <v>167</v>
      </c>
      <c r="D146" s="6" t="s">
        <v>50</v>
      </c>
      <c r="E146" s="6" t="s">
        <v>5</v>
      </c>
    </row>
    <row r="147" spans="1:5">
      <c r="A147" s="6" t="s">
        <v>170</v>
      </c>
      <c r="B147" s="6" t="s">
        <v>20</v>
      </c>
      <c r="C147" s="6" t="s">
        <v>167</v>
      </c>
      <c r="D147" s="6" t="s">
        <v>50</v>
      </c>
      <c r="E147" s="6" t="s">
        <v>5</v>
      </c>
    </row>
    <row r="148" spans="1:5">
      <c r="A148" s="6" t="s">
        <v>171</v>
      </c>
      <c r="B148" s="6" t="s">
        <v>20</v>
      </c>
      <c r="C148" s="6" t="s">
        <v>167</v>
      </c>
      <c r="D148" s="6" t="s">
        <v>50</v>
      </c>
      <c r="E148" s="6" t="s">
        <v>5</v>
      </c>
    </row>
    <row r="149" spans="1:5">
      <c r="A149" s="6" t="s">
        <v>172</v>
      </c>
      <c r="B149" s="6" t="s">
        <v>20</v>
      </c>
      <c r="C149" s="6" t="s">
        <v>167</v>
      </c>
      <c r="D149" s="6" t="s">
        <v>23</v>
      </c>
      <c r="E149" s="6" t="s">
        <v>5</v>
      </c>
    </row>
    <row r="150" spans="1:5">
      <c r="A150" s="6" t="s">
        <v>173</v>
      </c>
      <c r="B150" s="6" t="s">
        <v>20</v>
      </c>
      <c r="C150" s="6" t="s">
        <v>167</v>
      </c>
      <c r="D150" s="6" t="s">
        <v>23</v>
      </c>
      <c r="E150" s="6" t="s">
        <v>5</v>
      </c>
    </row>
    <row r="151" spans="1:5">
      <c r="A151" s="6" t="s">
        <v>174</v>
      </c>
      <c r="B151" s="6" t="s">
        <v>20</v>
      </c>
      <c r="C151" s="6" t="s">
        <v>167</v>
      </c>
      <c r="D151" s="6" t="s">
        <v>17</v>
      </c>
      <c r="E151" s="6" t="s">
        <v>5</v>
      </c>
    </row>
    <row r="152" spans="1:5">
      <c r="A152" s="6" t="s">
        <v>175</v>
      </c>
      <c r="B152" s="6" t="s">
        <v>20</v>
      </c>
      <c r="C152" s="6" t="s">
        <v>167</v>
      </c>
      <c r="D152" s="6" t="s">
        <v>23</v>
      </c>
      <c r="E152" s="6" t="s">
        <v>5</v>
      </c>
    </row>
  </sheetData>
  <conditionalFormatting sqref="E10:E200">
    <cfRule type="expression" dxfId="3" priority="1">
      <formula>E10="Done"</formula>
    </cfRule>
    <cfRule type="expression" dxfId="2" priority="2">
      <formula>E10="In progress"</formula>
    </cfRule>
  </conditionalFormatting>
  <conditionalFormatting sqref="D10:D200">
    <cfRule type="expression" dxfId="1" priority="3">
      <formula>D10="Easy"</formula>
    </cfRule>
    <cfRule type="expression" dxfId="0" priority="4">
      <formula>D10="Medium"</formula>
    </cfRule>
  </conditionalFormatting>
  <dataValidations count="3">
    <dataValidation type="list" allowBlank="1" sqref="B10:B200">
      <formula1>"Topic,Subtopic"</formula1>
    </dataValidation>
    <dataValidation type="list" allowBlank="1" sqref="D10:D200">
      <formula1>"Easy,Medium,Hard"</formula1>
    </dataValidation>
    <dataValidation type="list" allowBlank="1" sqref="E10:E200">
      <formula1>"Not started,In 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4.4"/>
  <cols>
    <col min="1" max="1" width="110" customWidth="1"/>
  </cols>
  <sheetData>
    <row r="1" spans="1:1" ht="16.8" customHeight="1">
      <c r="A1" s="7" t="s">
        <v>176</v>
      </c>
    </row>
    <row r="3" spans="1:1">
      <c r="A3" s="8" t="s">
        <v>177</v>
      </c>
    </row>
    <row r="4" spans="1:1">
      <c r="A4" s="8" t="s">
        <v>178</v>
      </c>
    </row>
    <row r="5" spans="1:1">
      <c r="A5" s="8" t="s">
        <v>179</v>
      </c>
    </row>
    <row r="6" spans="1:1">
      <c r="A6" s="8" t="s">
        <v>180</v>
      </c>
    </row>
    <row r="7" spans="1:1">
      <c r="A7" s="8" t="s">
        <v>181</v>
      </c>
    </row>
    <row r="8" spans="1:1">
      <c r="A8" s="8" t="s">
        <v>182</v>
      </c>
    </row>
    <row r="9" spans="1:1">
      <c r="A9" s="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Progress Tracker</vt:lpstr>
      <vt:lpstr>How to Use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Rakshitha Sudharshna</cp:lastModifiedBy>
  <dcterms:modified xsi:type="dcterms:W3CDTF">2026-08-27T06:30:11Z</dcterms:modified>
</cp:coreProperties>
</file>